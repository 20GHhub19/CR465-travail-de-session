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orrection" sheetId="2" r:id="rId6"/>
    <sheet name="Référentiel" sheetId="3" r:id="rId7"/>
    <sheet name="Consignes" sheetId="4" r:id="rId8"/>
  </sheets>
</workbook>
</file>

<file path=xl/comments1.xml><?xml version="1.0" encoding="utf-8"?>
<comments xmlns="http://schemas.openxmlformats.org/spreadsheetml/2006/main">
  <authors>
    <author>Perplexity</author>
  </authors>
  <commentList>
    <comment ref="C6" authorId="0">
      <text>
        <r>
          <rPr>
            <sz val="11"/>
            <color indexed="8"/>
            <rFont val="Helvetica Neue"/>
          </rPr>
          <t>Perplexity:
Entrer une note de 0 à 5.</t>
        </r>
      </text>
    </comment>
    <comment ref="C7" authorId="0">
      <text>
        <r>
          <rPr>
            <sz val="11"/>
            <color indexed="8"/>
            <rFont val="Helvetica Neue"/>
          </rPr>
          <t>Perplexity:
Entrer une note de 0 à 5.</t>
        </r>
      </text>
    </comment>
    <comment ref="C8" authorId="0">
      <text>
        <r>
          <rPr>
            <sz val="11"/>
            <color indexed="8"/>
            <rFont val="Helvetica Neue"/>
          </rPr>
          <t>Perplexity:
Entrer une note de 0 à 4.</t>
        </r>
      </text>
    </comment>
    <comment ref="C9" authorId="0">
      <text>
        <r>
          <rPr>
            <sz val="11"/>
            <color indexed="8"/>
            <rFont val="Helvetica Neue"/>
          </rPr>
          <t>Perplexity:
Entrer une note de 0 à 4.</t>
        </r>
      </text>
    </comment>
    <comment ref="C10" authorId="0">
      <text>
        <r>
          <rPr>
            <sz val="11"/>
            <color indexed="8"/>
            <rFont val="Helvetica Neue"/>
          </rPr>
          <t>Perplexity:
Entrer une note de 0 à 5.</t>
        </r>
      </text>
    </comment>
    <comment ref="C11" authorId="0">
      <text>
        <r>
          <rPr>
            <sz val="11"/>
            <color indexed="8"/>
            <rFont val="Helvetica Neue"/>
          </rPr>
          <t>Perplexity:
Entrer une note de 0 à 4.</t>
        </r>
      </text>
    </comment>
    <comment ref="C12" authorId="0">
      <text>
        <r>
          <rPr>
            <sz val="11"/>
            <color indexed="8"/>
            <rFont val="Helvetica Neue"/>
          </rPr>
          <t>Perplexity:
Entrer une note de 0 à 4.</t>
        </r>
      </text>
    </comment>
    <comment ref="C13" authorId="0">
      <text>
        <r>
          <rPr>
            <sz val="11"/>
            <color indexed="8"/>
            <rFont val="Helvetica Neue"/>
          </rPr>
          <t>Perplexity:
Entrer une note de 0 à 4.</t>
        </r>
      </text>
    </comment>
    <comment ref="C14" authorId="0">
      <text>
        <r>
          <rPr>
            <sz val="11"/>
            <color indexed="8"/>
            <rFont val="Helvetica Neue"/>
          </rPr>
          <t>Perplexity:
Entrer une note de 0 à 2.</t>
        </r>
      </text>
    </comment>
    <comment ref="C15" authorId="0">
      <text>
        <r>
          <rPr>
            <sz val="11"/>
            <color indexed="8"/>
            <rFont val="Helvetica Neue"/>
          </rPr>
          <t>Perplexity:
Entrer une note de 0 à 2.</t>
        </r>
      </text>
    </comment>
    <comment ref="C16" authorId="0">
      <text>
        <r>
          <rPr>
            <sz val="11"/>
            <color indexed="8"/>
            <rFont val="Helvetica Neue"/>
          </rPr>
          <t>Perplexity:
Entrer une note de 0 à 5.</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<sst xmlns="http://schemas.openxmlformats.org/spreadsheetml/2006/main" uniqueCount="71">
  <si>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</si>
  <si>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</si>
  <si>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</si>
  <si>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</si>
  <si>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Correction</t>
  </si>
  <si>
    <t>Table 1</t>
  </si>
  <si>
    <t>Grille de correction — plateforme pédagogique conteneurisée</t>
  </si>
  <si>
    <t>Équipe</t>
  </si>
  <si>
    <t>Correcteur</t>
  </si>
  <si>
    <t>Date</t>
  </si>
  <si>
    <t>Critère</t>
  </si>
  <si>
    <t>Maximum</t>
  </si>
  <si>
    <t>Note attribuée</t>
  </si>
  <si>
    <t>Niveau</t>
  </si>
  <si>
    <t>Commentaires / preuves observées</t>
  </si>
  <si>
    <t>Indicateurs clés</t>
  </si>
  <si>
    <t>VM as Code avec cloud-init</t>
  </si>
  <si>
    <t>Présence d’un vrai fichier cloud-init; automatisation de l’utilisateur, SSH, mises à jour, Docker et préparation de l’hôte.</t>
  </si>
  <si>
    <t>Architecture et schéma</t>
  </si>
  <si>
    <t>Lisibilité, cohérence, zones de confiance, flux, exposition et parcours métier.</t>
  </si>
  <si>
    <t>Déploiement conteneurisé</t>
  </si>
  <si>
    <t>Qualité de la stack Docker Compose, structure, dépendances, volumes et reproductibilité.</t>
  </si>
  <si>
    <t>Sécurité des images</t>
  </si>
  <si>
    <t>Versions explicites, provenance, scan ou validation et justification des images.</t>
  </si>
  <si>
    <t>Sécurité à l’exécution</t>
  </si>
  <si>
    <t>Non-root, absence de privilèges injustifiés, réduction des privilèges, options de sécurité et ressources.</t>
  </si>
  <si>
    <t>Segmentation réseau</t>
  </si>
  <si>
    <t>Réseaux d’exposition, applicatifs et de données; exposition minimale et flux justifiés.</t>
  </si>
  <si>
    <t>Intégration Drupal Commerce → n8n → Moodle</t>
  </si>
  <si>
    <t>Parcours vente/paiement simulé, workflow n8n, puis attribution d’accès Moodle.</t>
  </si>
  <si>
    <t>IAM et SSO</t>
  </si>
  <si>
    <t>Keycloak, SSO Moodle et compréhension des flux d’authentification.</t>
  </si>
  <si>
    <t>Reverse proxy et WAF</t>
  </si>
  <si>
    <t>Rôle de Traefik, rôle d’OpenAppSec et centralisation de l’exposition.</t>
  </si>
  <si>
    <t>Observabilité et exploitation</t>
  </si>
  <si>
    <t>Usage de Portainer CE, états, journaux et diagnostic; Grafana/Loki optionnel.</t>
  </si>
  <si>
    <t>Qualité des livrables</t>
  </si>
  <si>
    <t>Vidéo M365 conforme, GitBook, GitHub, document Word/PPT et cohérence globale.</t>
  </si>
  <si>
    <t>TOTAL</t>
  </si>
  <si>
    <t>Résultat (%)</t>
  </si>
  <si>
    <t>Appréciation</t>
  </si>
  <si>
    <t>Insuffisant</t>
  </si>
  <si>
    <t>Pénalités majeures à considérer</t>
  </si>
  <si>
    <t>• Secrets réels committés dans GitHub.</t>
  </si>
  <si>
    <t>• Conteneur applicatif en mode privilégié sans justification sérieuse.</t>
  </si>
  <si>
    <t>• Exposition publique directe de PostgreSQL, Redis, n8n ou d’une interface d’administration sensible.</t>
  </si>
  <si>
    <t>• Absence réelle de cloud-init malgré une revendication de VM as Code.</t>
  </si>
  <si>
    <t>• Vidéo dépassant 15 min 59 s.</t>
  </si>
  <si>
    <t>• Dépôt GitHub inutilisable, incomplet ou non reproductible.</t>
  </si>
  <si>
    <t>Référentiel</t>
  </si>
  <si>
    <t>Référentiel des niveaux de performance</t>
  </si>
  <si>
    <t>Excellent</t>
  </si>
  <si>
    <t>Satisfaisant</t>
  </si>
  <si>
    <t>Fragile</t>
  </si>
  <si>
    <t>Démonstration complète, cohérente, claire et reproductible.</t>
  </si>
  <si>
    <t>Exigences principales respectées; quelques lacunes mineures.</t>
  </si>
  <si>
    <t>Mise en œuvre partielle, peu démontrée ou peu justifiée.</t>
  </si>
  <si>
    <t>Absent, incorrect, non démontré ou difficilement exploitable.</t>
  </si>
  <si>
    <t>Consignes</t>
  </si>
  <si>
    <t>Consignes de correction</t>
  </si>
  <si>
    <t>Livrables à vérifier</t>
  </si>
  <si>
    <t>Vidéo M365/Stream; GitBook; GitHub; document Word ou PowerPoint de 10 pages maximum, page de garde comprise.</t>
  </si>
  <si>
    <t>Durée vidéo</t>
  </si>
  <si>
    <t>Entre 15 min 00 s et 15 min 59 s. Toute vidéo plus longue constitue une pénalité majeure.</t>
  </si>
  <si>
    <t>Scénario métier</t>
  </si>
  <si>
    <t>Drupal Commerce présente une formation; un paiement fictif, sandbox ou simulé déclenche n8n; n8n attribue ou synchronise un accès dans Moodle.</t>
  </si>
  <si>
    <t>Socle technique</t>
  </si>
  <si>
    <t>Une VM Linux initialisée par cloud-init; stack déployée avec Docker Compose; Traefik, OpenAppSec, Drupal Commerce, Moodle, Keycloak, n8n, Portainer CE et services de données pertinents.</t>
  </si>
  <si>
    <t>Attribuer la note selon les preuves visibles dans la vidéo, le code du dépôt et la documentation. Une solution plus simple mais stable, sécurisée et expliquée vaut mieux qu’une solution ambitieuse mais non maîtrisée.</t>
  </si>
  <si>
    <t>Repères sécurité</t>
  </si>
  <si>
    <t>Vérifier le moindre privilège, l’absence de conteneurs privilégiés injustifiés, l’usage de versions explicites, une exposition minimale et une segmentation réseau cohérente.</t>
  </si>
</sst>
</file>

<file path=xl/styles.xml><?xml version="1.0" encoding="utf-8"?>
<styleSheet xmlns="http://schemas.openxmlformats.org/spreadsheetml/2006/main">
  <numFmts count="2">
    <numFmt numFmtId="0" formatCode="General"/>
    <numFmt numFmtId="59" formatCode="0.0%"/>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Calibri"/>
    </font>
    <font>
      <b val="1"/>
      <sz val="11"/>
      <color indexed="12"/>
      <name val="Calibri"/>
    </font>
    <font>
      <sz val="11"/>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s>
  <borders count="29">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right/>
      <top/>
      <bottom style="thin">
        <color indexed="16"/>
      </bottom>
      <diagonal/>
    </border>
    <border>
      <left/>
      <right style="thin">
        <color indexed="14"/>
      </right>
      <top/>
      <bottom style="thin">
        <color indexed="16"/>
      </bottom>
      <diagonal/>
    </border>
    <border>
      <left style="thin">
        <color indexed="14"/>
      </left>
      <right/>
      <top/>
      <bottom style="medium">
        <color indexed="13"/>
      </bottom>
      <diagonal/>
    </border>
    <border>
      <left/>
      <right/>
      <top style="thin">
        <color indexed="16"/>
      </top>
      <bottom style="medium">
        <color indexed="13"/>
      </bottom>
      <diagonal/>
    </border>
    <border>
      <left/>
      <right/>
      <top/>
      <bottom style="medium">
        <color indexed="13"/>
      </bottom>
      <diagonal/>
    </border>
    <border>
      <left/>
      <right style="thin">
        <color indexed="14"/>
      </right>
      <top style="thin">
        <color indexed="16"/>
      </top>
      <bottom style="medium">
        <color indexed="13"/>
      </bottom>
      <diagonal/>
    </border>
    <border>
      <left style="thin">
        <color indexed="16"/>
      </left>
      <right style="thin">
        <color indexed="16"/>
      </right>
      <top style="medium">
        <color indexed="13"/>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6"/>
      </top>
      <bottom style="medium">
        <color indexed="13"/>
      </bottom>
      <diagonal/>
    </border>
    <border>
      <left style="thin">
        <color indexed="16"/>
      </left>
      <right style="thin">
        <color indexed="16"/>
      </right>
      <top style="medium">
        <color indexed="13"/>
      </top>
      <bottom style="medium">
        <color indexed="13"/>
      </bottom>
      <diagonal/>
    </border>
    <border>
      <left style="thin">
        <color indexed="16"/>
      </left>
      <right style="thin">
        <color indexed="16"/>
      </right>
      <top style="medium">
        <color indexed="13"/>
      </top>
      <bottom/>
      <diagonal/>
    </border>
    <border>
      <left style="thin">
        <color indexed="16"/>
      </left>
      <right style="thin">
        <color indexed="14"/>
      </right>
      <top style="medium">
        <color indexed="13"/>
      </top>
      <bottom/>
      <diagonal/>
    </border>
    <border>
      <left style="thin">
        <color indexed="14"/>
      </left>
      <right/>
      <top style="thin">
        <color indexed="16"/>
      </top>
      <bottom/>
      <diagonal/>
    </border>
    <border>
      <left/>
      <right/>
      <top style="thin">
        <color indexed="16"/>
      </top>
      <bottom/>
      <diagonal/>
    </border>
    <border>
      <left style="thin">
        <color indexed="14"/>
      </left>
      <right/>
      <top/>
      <bottom style="thin">
        <color indexed="16"/>
      </bottom>
      <diagonal/>
    </border>
    <border>
      <left style="thin">
        <color indexed="16"/>
      </left>
      <right/>
      <top/>
      <bottom/>
      <diagonal/>
    </border>
    <border>
      <left style="thin">
        <color indexed="16"/>
      </left>
      <right/>
      <top/>
      <bottom style="thin">
        <color indexed="14"/>
      </bottom>
      <diagonal/>
    </border>
    <border>
      <left/>
      <right/>
      <top/>
      <bottom style="thin">
        <color indexed="14"/>
      </bottom>
      <diagonal/>
    </border>
    <border>
      <left/>
      <right style="thin">
        <color indexed="14"/>
      </right>
      <top/>
      <bottom style="thin">
        <color indexed="14"/>
      </bottom>
      <diagonal/>
    </border>
    <border>
      <left/>
      <right style="thin">
        <color indexed="14"/>
      </right>
      <top/>
      <bottom style="medium">
        <color indexed="13"/>
      </bottom>
      <diagonal/>
    </border>
    <border>
      <left style="thin">
        <color indexed="16"/>
      </left>
      <right style="thin">
        <color indexed="14"/>
      </right>
      <top/>
      <bottom/>
      <diagonal/>
    </border>
    <border>
      <left style="thin">
        <color indexed="14"/>
      </left>
      <right/>
      <top/>
      <bottom style="thin">
        <color indexed="14"/>
      </bottom>
      <diagonal/>
    </border>
  </borders>
  <cellStyleXfs count="1">
    <xf numFmtId="0" fontId="0" applyNumberFormat="0" applyFont="1" applyFill="0" applyBorder="0" applyAlignment="1" applyProtection="0">
      <alignment vertical="bottom"/>
    </xf>
  </cellStyleXfs>
  <cellXfs count="6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fillId="4" borderId="4" applyNumberFormat="1" applyFont="1" applyFill="1" applyBorder="1" applyAlignment="1" applyProtection="0">
      <alignment horizontal="center" vertical="bottom"/>
    </xf>
    <xf numFmtId="0" fontId="0" fillId="5" borderId="7" applyNumberFormat="0" applyFont="1" applyFill="1" applyBorder="1" applyAlignment="1" applyProtection="0">
      <alignment vertical="bottom"/>
    </xf>
    <xf numFmtId="49" fontId="7" fillId="4" borderId="5" applyNumberFormat="1" applyFont="1" applyFill="1" applyBorder="1" applyAlignment="1" applyProtection="0">
      <alignment horizontal="center" vertical="bottom"/>
    </xf>
    <xf numFmtId="0" fontId="0" fillId="5" borderId="8" applyNumberFormat="0" applyFont="1" applyFill="1"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7" fillId="4" borderId="13" applyNumberFormat="1" applyFont="1" applyFill="1" applyBorder="1" applyAlignment="1" applyProtection="0">
      <alignment horizontal="center" vertical="center" wrapText="1"/>
    </xf>
    <xf numFmtId="49" fontId="0" fillId="6" borderId="14" applyNumberFormat="1" applyFont="1" applyFill="1" applyBorder="1" applyAlignment="1" applyProtection="0">
      <alignment vertical="top" wrapText="1"/>
    </xf>
    <xf numFmtId="0" fontId="0" fillId="7" borderId="14" applyNumberFormat="1" applyFont="1" applyFill="1" applyBorder="1" applyAlignment="1" applyProtection="0">
      <alignment horizontal="center" vertical="center"/>
    </xf>
    <xf numFmtId="0" fontId="0" fillId="7" borderId="14" applyNumberFormat="0" applyFont="1" applyFill="1" applyBorder="1" applyAlignment="1" applyProtection="0">
      <alignment horizontal="center" vertical="center"/>
    </xf>
    <xf numFmtId="0" fontId="0" fillId="7" borderId="14" applyNumberFormat="0" applyFont="1" applyFill="1" applyBorder="1" applyAlignment="1" applyProtection="0">
      <alignment horizontal="center" vertical="center" wrapText="1"/>
    </xf>
    <xf numFmtId="0" fontId="0" fillId="7" borderId="14" applyNumberFormat="0" applyFont="1" applyFill="1" applyBorder="1" applyAlignment="1" applyProtection="0">
      <alignment vertical="top" wrapText="1"/>
    </xf>
    <xf numFmtId="49" fontId="0" fillId="6" borderId="15" applyNumberFormat="1" applyFont="1" applyFill="1" applyBorder="1" applyAlignment="1" applyProtection="0">
      <alignment vertical="top" wrapText="1"/>
    </xf>
    <xf numFmtId="0" fontId="0" fillId="7" borderId="15" applyNumberFormat="1" applyFont="1" applyFill="1" applyBorder="1" applyAlignment="1" applyProtection="0">
      <alignment horizontal="center" vertical="center"/>
    </xf>
    <xf numFmtId="0" fontId="0" fillId="7" borderId="15" applyNumberFormat="0" applyFont="1" applyFill="1" applyBorder="1" applyAlignment="1" applyProtection="0">
      <alignment horizontal="center" vertical="center"/>
    </xf>
    <xf numFmtId="0" fontId="0" fillId="7" borderId="15" applyNumberFormat="0" applyFont="1" applyFill="1" applyBorder="1" applyAlignment="1" applyProtection="0">
      <alignment horizontal="center" vertical="center" wrapText="1"/>
    </xf>
    <xf numFmtId="0" fontId="0" fillId="7" borderId="15" applyNumberFormat="0" applyFont="1" applyFill="1" applyBorder="1" applyAlignment="1" applyProtection="0">
      <alignment vertical="top" wrapText="1"/>
    </xf>
    <xf numFmtId="49" fontId="7" fillId="4" borderId="13" applyNumberFormat="1" applyFont="1" applyFill="1" applyBorder="1" applyAlignment="1" applyProtection="0">
      <alignment horizontal="left" vertical="center"/>
    </xf>
    <xf numFmtId="0" fontId="7" fillId="4" borderId="13" applyNumberFormat="1" applyFont="1" applyFill="1" applyBorder="1" applyAlignment="1" applyProtection="0">
      <alignment horizontal="center" vertical="center"/>
    </xf>
    <xf numFmtId="0" fontId="7" fillId="4" borderId="16" applyNumberFormat="1" applyFont="1" applyFill="1" applyBorder="1" applyAlignment="1" applyProtection="0">
      <alignment horizontal="center" vertical="center"/>
    </xf>
    <xf numFmtId="0" fontId="7" fillId="4" borderId="13" applyNumberFormat="0" applyFont="1" applyFill="1" applyBorder="1" applyAlignment="1" applyProtection="0">
      <alignment horizontal="left" vertical="center"/>
    </xf>
    <xf numFmtId="0" fontId="7" fillId="4" borderId="16" applyNumberFormat="0" applyFont="1" applyFill="1" applyBorder="1" applyAlignment="1" applyProtection="0">
      <alignment horizontal="left" vertical="center"/>
    </xf>
    <xf numFmtId="0" fontId="7" fillId="4" borderId="14" applyNumberFormat="0" applyFont="1" applyFill="1" applyBorder="1" applyAlignment="1" applyProtection="0">
      <alignment horizontal="center" vertical="center"/>
    </xf>
    <xf numFmtId="0" fontId="0" fillId="5" borderId="14" applyNumberFormat="0" applyFont="1" applyFill="1" applyBorder="1" applyAlignment="1" applyProtection="0">
      <alignment horizontal="center" vertical="center"/>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49" fontId="0" borderId="19" applyNumberFormat="1" applyFont="1" applyFill="0" applyBorder="1" applyAlignment="1" applyProtection="0">
      <alignment vertical="bottom"/>
    </xf>
    <xf numFmtId="59" fontId="0" borderId="20" applyNumberFormat="1" applyFont="1" applyFill="0" applyBorder="1" applyAlignment="1" applyProtection="0">
      <alignment vertical="bottom"/>
    </xf>
    <xf numFmtId="49" fontId="0" borderId="20" applyNumberFormat="1" applyFont="1" applyFill="0" applyBorder="1" applyAlignment="1" applyProtection="0">
      <alignment vertical="bottom"/>
    </xf>
    <xf numFmtId="0" fontId="0" borderId="20" applyNumberFormat="0" applyFont="1" applyFill="0" applyBorder="1" applyAlignment="1" applyProtection="0">
      <alignment vertical="bottom"/>
    </xf>
    <xf numFmtId="49" fontId="7" fillId="8" borderId="21" applyNumberFormat="1" applyFont="1" applyFill="1" applyBorder="1" applyAlignment="1" applyProtection="0">
      <alignment horizontal="center" vertical="bottom"/>
    </xf>
    <xf numFmtId="49" fontId="0" fillId="9" borderId="14" applyNumberFormat="1" applyFont="1" applyFill="1" applyBorder="1" applyAlignment="1" applyProtection="0">
      <alignment vertical="center" wrapText="1"/>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0" fontId="0" borderId="26" applyNumberFormat="0" applyFont="1" applyFill="0" applyBorder="1" applyAlignment="1" applyProtection="0">
      <alignment vertical="bottom"/>
    </xf>
    <xf numFmtId="49" fontId="7" fillId="4" borderId="13" applyNumberFormat="1" applyFont="1" applyFill="1" applyBorder="1" applyAlignment="1" applyProtection="0">
      <alignment horizontal="center" vertical="bottom" wrapText="1"/>
    </xf>
    <xf numFmtId="49" fontId="0" fillId="7" borderId="14" applyNumberFormat="1" applyFont="1" applyFill="1" applyBorder="1" applyAlignment="1" applyProtection="0">
      <alignment vertical="top" wrapText="1"/>
    </xf>
    <xf numFmtId="0" fontId="0" fillId="7" borderId="14"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borderId="21"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fillId="4" borderId="14" applyNumberFormat="1" applyFont="1" applyFill="1" applyBorder="1" applyAlignment="1" applyProtection="0">
      <alignment vertical="top" wrapText="1"/>
    </xf>
    <xf numFmtId="0" fontId="0" borderId="27" applyNumberFormat="0" applyFont="1" applyFill="0" applyBorder="1" applyAlignment="1" applyProtection="0">
      <alignment vertical="bottom"/>
    </xf>
    <xf numFmtId="0" fontId="0" borderId="19" applyNumberFormat="0" applyFont="1" applyFill="0" applyBorder="1" applyAlignment="1" applyProtection="0">
      <alignment vertical="bottom"/>
    </xf>
    <xf numFmtId="0" fontId="0" borderId="28"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f7fbfe"/>
      <rgbColor rgb="ffb7c9d6"/>
      <rgbColor rgb="ffeaf3f8"/>
      <rgbColor rgb="ff9c0006"/>
      <rgbColor rgb="fffde9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49</v>
      </c>
      <c r="C11" s="3"/>
      <c r="D11" s="3"/>
    </row>
    <row r="12">
      <c r="B12" s="4"/>
      <c r="C12" t="s" s="4">
        <v>5</v>
      </c>
      <c r="D12" t="s" s="5">
        <v>49</v>
      </c>
    </row>
    <row r="13">
      <c r="B13" t="s" s="3">
        <v>58</v>
      </c>
      <c r="C13" s="3"/>
      <c r="D13" s="3"/>
    </row>
    <row r="14">
      <c r="B14" s="4"/>
      <c r="C14" t="s" s="4">
        <v>5</v>
      </c>
      <c r="D14" t="s" s="5">
        <v>58</v>
      </c>
    </row>
  </sheetData>
  <mergeCells count="1">
    <mergeCell ref="B3:D3"/>
  </mergeCells>
  <hyperlinks>
    <hyperlink ref="D10" location="'Correction'!R1C1" tooltip="" display="Correction"/>
    <hyperlink ref="D12" location="'Référentiel'!R1C1" tooltip="" display="Référentiel"/>
    <hyperlink ref="D14" location="'Consignes'!R1C1" tooltip="" display="Consignes"/>
  </hyperlinks>
</worksheet>
</file>

<file path=xl/worksheets/sheet2.xml><?xml version="1.0" encoding="utf-8"?>
<worksheet xmlns:r="http://schemas.openxmlformats.org/officeDocument/2006/relationships" xmlns="http://schemas.openxmlformats.org/spreadsheetml/2006/main">
  <sheetPr>
    <pageSetUpPr fitToPage="1"/>
  </sheetPr>
  <dimension ref="A1:F26"/>
  <sheetViews>
    <sheetView workbookViewId="0" showGridLines="0" defaultGridColor="1"/>
  </sheetViews>
  <sheetFormatPr defaultColWidth="8.83333" defaultRowHeight="15" customHeight="1" outlineLevelRow="0" outlineLevelCol="0"/>
  <cols>
    <col min="1" max="1" width="35" style="6" customWidth="1"/>
    <col min="2" max="2" width="10" style="6" customWidth="1"/>
    <col min="3" max="3" width="14" style="6" customWidth="1"/>
    <col min="4" max="4" width="17" style="6" customWidth="1"/>
    <col min="5" max="5" width="42" style="6" customWidth="1"/>
    <col min="6" max="6" width="48" style="6" customWidth="1"/>
    <col min="7" max="16384" width="8.85156" style="6" customWidth="1"/>
  </cols>
  <sheetData>
    <row r="1" ht="28" customHeight="1">
      <c r="A1" t="s" s="7">
        <v>6</v>
      </c>
      <c r="B1" s="8"/>
      <c r="C1" s="8"/>
      <c r="D1" s="8"/>
      <c r="E1" s="8"/>
      <c r="F1" s="9"/>
    </row>
    <row r="2" ht="13.55" customHeight="1">
      <c r="A2" s="10"/>
      <c r="B2" s="11"/>
      <c r="C2" s="11"/>
      <c r="D2" s="11"/>
      <c r="E2" s="11"/>
      <c r="F2" s="12"/>
    </row>
    <row r="3" ht="13.55" customHeight="1">
      <c r="A3" t="s" s="13">
        <v>7</v>
      </c>
      <c r="B3" s="14"/>
      <c r="C3" t="s" s="15">
        <v>8</v>
      </c>
      <c r="D3" s="14"/>
      <c r="E3" t="s" s="15">
        <v>9</v>
      </c>
      <c r="F3" s="16"/>
    </row>
    <row r="4" ht="14.05" customHeight="1">
      <c r="A4" s="17"/>
      <c r="B4" s="18"/>
      <c r="C4" s="19"/>
      <c r="D4" s="18"/>
      <c r="E4" s="19"/>
      <c r="F4" s="20"/>
    </row>
    <row r="5" ht="34" customHeight="1">
      <c r="A5" t="s" s="21">
        <v>10</v>
      </c>
      <c r="B5" t="s" s="21">
        <v>11</v>
      </c>
      <c r="C5" t="s" s="21">
        <v>12</v>
      </c>
      <c r="D5" t="s" s="21">
        <v>13</v>
      </c>
      <c r="E5" t="s" s="21">
        <v>14</v>
      </c>
      <c r="F5" t="s" s="21">
        <v>15</v>
      </c>
    </row>
    <row r="6" ht="58" customHeight="1">
      <c r="A6" t="s" s="22">
        <v>16</v>
      </c>
      <c r="B6" s="23">
        <v>5</v>
      </c>
      <c r="C6" s="24"/>
      <c r="D6" s="25"/>
      <c r="E6" s="26"/>
      <c r="F6" t="s" s="22">
        <v>17</v>
      </c>
    </row>
    <row r="7" ht="58" customHeight="1">
      <c r="A7" t="s" s="22">
        <v>18</v>
      </c>
      <c r="B7" s="23">
        <v>5</v>
      </c>
      <c r="C7" s="24"/>
      <c r="D7" s="25"/>
      <c r="E7" s="26"/>
      <c r="F7" t="s" s="22">
        <v>19</v>
      </c>
    </row>
    <row r="8" ht="58" customHeight="1">
      <c r="A8" t="s" s="22">
        <v>20</v>
      </c>
      <c r="B8" s="23">
        <v>4</v>
      </c>
      <c r="C8" s="24"/>
      <c r="D8" s="25"/>
      <c r="E8" s="26"/>
      <c r="F8" t="s" s="22">
        <v>21</v>
      </c>
    </row>
    <row r="9" ht="58" customHeight="1">
      <c r="A9" t="s" s="22">
        <v>22</v>
      </c>
      <c r="B9" s="23">
        <v>4</v>
      </c>
      <c r="C9" s="24"/>
      <c r="D9" s="25"/>
      <c r="E9" s="26"/>
      <c r="F9" t="s" s="22">
        <v>23</v>
      </c>
    </row>
    <row r="10" ht="58" customHeight="1">
      <c r="A10" t="s" s="22">
        <v>24</v>
      </c>
      <c r="B10" s="23">
        <v>5</v>
      </c>
      <c r="C10" s="24"/>
      <c r="D10" s="25"/>
      <c r="E10" s="26"/>
      <c r="F10" t="s" s="22">
        <v>25</v>
      </c>
    </row>
    <row r="11" ht="58" customHeight="1">
      <c r="A11" t="s" s="22">
        <v>26</v>
      </c>
      <c r="B11" s="23">
        <v>4</v>
      </c>
      <c r="C11" s="24"/>
      <c r="D11" s="25"/>
      <c r="E11" s="26"/>
      <c r="F11" t="s" s="22">
        <v>27</v>
      </c>
    </row>
    <row r="12" ht="58" customHeight="1">
      <c r="A12" t="s" s="22">
        <v>28</v>
      </c>
      <c r="B12" s="23">
        <v>4</v>
      </c>
      <c r="C12" s="24"/>
      <c r="D12" s="25"/>
      <c r="E12" s="26"/>
      <c r="F12" t="s" s="22">
        <v>29</v>
      </c>
    </row>
    <row r="13" ht="58" customHeight="1">
      <c r="A13" t="s" s="22">
        <v>30</v>
      </c>
      <c r="B13" s="23">
        <v>4</v>
      </c>
      <c r="C13" s="24"/>
      <c r="D13" s="25"/>
      <c r="E13" s="26"/>
      <c r="F13" t="s" s="22">
        <v>31</v>
      </c>
    </row>
    <row r="14" ht="58" customHeight="1">
      <c r="A14" t="s" s="22">
        <v>32</v>
      </c>
      <c r="B14" s="23">
        <v>2</v>
      </c>
      <c r="C14" s="24"/>
      <c r="D14" s="25"/>
      <c r="E14" s="26"/>
      <c r="F14" t="s" s="22">
        <v>33</v>
      </c>
    </row>
    <row r="15" ht="58" customHeight="1">
      <c r="A15" t="s" s="22">
        <v>34</v>
      </c>
      <c r="B15" s="23">
        <v>2</v>
      </c>
      <c r="C15" s="24"/>
      <c r="D15" s="25"/>
      <c r="E15" s="26"/>
      <c r="F15" t="s" s="22">
        <v>35</v>
      </c>
    </row>
    <row r="16" ht="58" customHeight="1">
      <c r="A16" t="s" s="27">
        <v>36</v>
      </c>
      <c r="B16" s="28">
        <v>5</v>
      </c>
      <c r="C16" s="29"/>
      <c r="D16" s="30"/>
      <c r="E16" s="31"/>
      <c r="F16" t="s" s="27">
        <v>37</v>
      </c>
    </row>
    <row r="17" ht="14.55" customHeight="1">
      <c r="A17" t="s" s="32">
        <v>38</v>
      </c>
      <c r="B17" s="33" cm="1">
        <f t="array" ref="B17">SUM(B6:B16)</f>
        <v>44</v>
      </c>
      <c r="C17" s="34" cm="1">
        <f t="array" ref="C17">SUM(C6:C16)</f>
        <v>0</v>
      </c>
      <c r="D17" s="35"/>
      <c r="E17" s="35"/>
      <c r="F17" s="36"/>
    </row>
    <row r="18" ht="14.05" customHeight="1">
      <c r="A18" s="37"/>
      <c r="B18" s="38"/>
      <c r="C18" s="39"/>
      <c r="D18" s="37"/>
      <c r="E18" s="38"/>
      <c r="F18" s="40"/>
    </row>
    <row r="19" ht="13.55" customHeight="1">
      <c r="A19" t="s" s="41">
        <v>39</v>
      </c>
      <c r="B19" s="42" cm="1">
        <f t="array" ref="B19">C17/B17</f>
        <v>0</v>
      </c>
      <c r="C19" s="11"/>
      <c r="D19" t="s" s="43">
        <v>40</v>
      </c>
      <c r="E19" t="str" s="44" cm="1">
        <f t="array" ref="E19">IF(C17&gt;=36,"Excellent",IF(C17&gt;=28,"Satisfaisant",IF(C17&gt;=20,"Fragile","Insuffisant")))</f>
        <v>Insuffisant</v>
      </c>
      <c r="F19" s="12"/>
    </row>
    <row r="20" ht="13.55" customHeight="1">
      <c r="A20" t="s" s="45">
        <v>42</v>
      </c>
      <c r="B20" s="11"/>
      <c r="C20" s="11"/>
      <c r="D20" s="11"/>
      <c r="E20" s="11"/>
      <c r="F20" s="12"/>
    </row>
    <row r="21" ht="13.55" customHeight="1">
      <c r="A21" t="s" s="46">
        <v>43</v>
      </c>
      <c r="B21" s="47"/>
      <c r="C21" s="11"/>
      <c r="D21" s="11"/>
      <c r="E21" s="11"/>
      <c r="F21" s="12"/>
    </row>
    <row r="22" ht="13.55" customHeight="1">
      <c r="A22" t="s" s="46">
        <v>44</v>
      </c>
      <c r="B22" s="47"/>
      <c r="C22" s="11"/>
      <c r="D22" s="11"/>
      <c r="E22" s="11"/>
      <c r="F22" s="12"/>
    </row>
    <row r="23" ht="13.55" customHeight="1">
      <c r="A23" t="s" s="46">
        <v>45</v>
      </c>
      <c r="B23" s="47"/>
      <c r="C23" s="11"/>
      <c r="D23" s="11"/>
      <c r="E23" s="11"/>
      <c r="F23" s="12"/>
    </row>
    <row r="24" ht="13.55" customHeight="1">
      <c r="A24" t="s" s="46">
        <v>46</v>
      </c>
      <c r="B24" s="47"/>
      <c r="C24" s="11"/>
      <c r="D24" s="11"/>
      <c r="E24" s="11"/>
      <c r="F24" s="12"/>
    </row>
    <row r="25" ht="13.55" customHeight="1">
      <c r="A25" t="s" s="46">
        <v>47</v>
      </c>
      <c r="B25" s="47"/>
      <c r="C25" s="11"/>
      <c r="D25" s="11"/>
      <c r="E25" s="11"/>
      <c r="F25" s="12"/>
    </row>
    <row r="26" ht="13.55" customHeight="1">
      <c r="A26" t="s" s="46">
        <v>48</v>
      </c>
      <c r="B26" s="48"/>
      <c r="C26" s="49"/>
      <c r="D26" s="49"/>
      <c r="E26" s="49"/>
      <c r="F26" s="50"/>
    </row>
  </sheetData>
  <mergeCells count="8">
    <mergeCell ref="A24:F24"/>
    <mergeCell ref="A1:F1"/>
    <mergeCell ref="A23:F23"/>
    <mergeCell ref="A26:F26"/>
    <mergeCell ref="A22:F22"/>
    <mergeCell ref="A20:F20"/>
    <mergeCell ref="A21:F21"/>
    <mergeCell ref="A25:F25"/>
  </mergeCells>
  <dataValidations count="1">
    <dataValidation type="list" allowBlank="1" showInputMessage="1" showErrorMessage="1" sqref="D6:D16">
      <formula1>"Excellent,Satisfaisant,Fragile,Insuffisant"</formula1>
    </dataValidation>
  </dataValidations>
  <pageMargins left="0.75" right="0.75" top="1" bottom="1" header="0.5" footer="0.5"/>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sheetPr>
    <pageSetUpPr fitToPage="1"/>
  </sheetPr>
  <dimension ref="A1:F14"/>
  <sheetViews>
    <sheetView workbookViewId="0" showGridLines="0" defaultGridColor="1"/>
  </sheetViews>
  <sheetFormatPr defaultColWidth="8.83333" defaultRowHeight="15" customHeight="1" outlineLevelRow="0" outlineLevelCol="0"/>
  <cols>
    <col min="1" max="1" width="37" style="51" customWidth="1"/>
    <col min="2" max="5" width="35" style="51" customWidth="1"/>
    <col min="6" max="6" width="10" style="51" customWidth="1"/>
    <col min="7" max="16384" width="8.85156" style="51" customWidth="1"/>
  </cols>
  <sheetData>
    <row r="1" ht="19.45" customHeight="1">
      <c r="A1" t="s" s="52">
        <v>50</v>
      </c>
      <c r="B1" s="8"/>
      <c r="C1" s="8"/>
      <c r="D1" s="8"/>
      <c r="E1" s="8"/>
      <c r="F1" s="9"/>
    </row>
    <row r="2" ht="14.05" customHeight="1">
      <c r="A2" s="17"/>
      <c r="B2" s="19"/>
      <c r="C2" s="19"/>
      <c r="D2" s="19"/>
      <c r="E2" s="19"/>
      <c r="F2" s="53"/>
    </row>
    <row r="3" ht="14.05" customHeight="1">
      <c r="A3" t="s" s="54">
        <v>10</v>
      </c>
      <c r="B3" t="s" s="54">
        <v>51</v>
      </c>
      <c r="C3" t="s" s="54">
        <v>52</v>
      </c>
      <c r="D3" t="s" s="54">
        <v>53</v>
      </c>
      <c r="E3" t="s" s="54">
        <v>41</v>
      </c>
      <c r="F3" t="s" s="54">
        <v>11</v>
      </c>
    </row>
    <row r="4" ht="58" customHeight="1">
      <c r="A4" t="s" s="22">
        <v>16</v>
      </c>
      <c r="B4" t="s" s="55">
        <v>54</v>
      </c>
      <c r="C4" t="s" s="55">
        <v>55</v>
      </c>
      <c r="D4" t="s" s="55">
        <v>56</v>
      </c>
      <c r="E4" t="s" s="55">
        <v>57</v>
      </c>
      <c r="F4" s="56">
        <v>5</v>
      </c>
    </row>
    <row r="5" ht="58" customHeight="1">
      <c r="A5" t="s" s="22">
        <v>18</v>
      </c>
      <c r="B5" t="s" s="55">
        <v>54</v>
      </c>
      <c r="C5" t="s" s="55">
        <v>55</v>
      </c>
      <c r="D5" t="s" s="55">
        <v>56</v>
      </c>
      <c r="E5" t="s" s="55">
        <v>57</v>
      </c>
      <c r="F5" s="56">
        <v>5</v>
      </c>
    </row>
    <row r="6" ht="58" customHeight="1">
      <c r="A6" t="s" s="22">
        <v>20</v>
      </c>
      <c r="B6" t="s" s="55">
        <v>54</v>
      </c>
      <c r="C6" t="s" s="55">
        <v>55</v>
      </c>
      <c r="D6" t="s" s="55">
        <v>56</v>
      </c>
      <c r="E6" t="s" s="55">
        <v>57</v>
      </c>
      <c r="F6" s="56">
        <v>4</v>
      </c>
    </row>
    <row r="7" ht="58" customHeight="1">
      <c r="A7" t="s" s="22">
        <v>22</v>
      </c>
      <c r="B7" t="s" s="55">
        <v>54</v>
      </c>
      <c r="C7" t="s" s="55">
        <v>55</v>
      </c>
      <c r="D7" t="s" s="55">
        <v>56</v>
      </c>
      <c r="E7" t="s" s="55">
        <v>57</v>
      </c>
      <c r="F7" s="56">
        <v>4</v>
      </c>
    </row>
    <row r="8" ht="58" customHeight="1">
      <c r="A8" t="s" s="22">
        <v>24</v>
      </c>
      <c r="B8" t="s" s="55">
        <v>54</v>
      </c>
      <c r="C8" t="s" s="55">
        <v>55</v>
      </c>
      <c r="D8" t="s" s="55">
        <v>56</v>
      </c>
      <c r="E8" t="s" s="55">
        <v>57</v>
      </c>
      <c r="F8" s="56">
        <v>5</v>
      </c>
    </row>
    <row r="9" ht="58" customHeight="1">
      <c r="A9" t="s" s="22">
        <v>26</v>
      </c>
      <c r="B9" t="s" s="55">
        <v>54</v>
      </c>
      <c r="C9" t="s" s="55">
        <v>55</v>
      </c>
      <c r="D9" t="s" s="55">
        <v>56</v>
      </c>
      <c r="E9" t="s" s="55">
        <v>57</v>
      </c>
      <c r="F9" s="56">
        <v>4</v>
      </c>
    </row>
    <row r="10" ht="58" customHeight="1">
      <c r="A10" t="s" s="22">
        <v>28</v>
      </c>
      <c r="B10" t="s" s="55">
        <v>54</v>
      </c>
      <c r="C10" t="s" s="55">
        <v>55</v>
      </c>
      <c r="D10" t="s" s="55">
        <v>56</v>
      </c>
      <c r="E10" t="s" s="55">
        <v>57</v>
      </c>
      <c r="F10" s="56">
        <v>4</v>
      </c>
    </row>
    <row r="11" ht="58" customHeight="1">
      <c r="A11" t="s" s="22">
        <v>30</v>
      </c>
      <c r="B11" t="s" s="55">
        <v>54</v>
      </c>
      <c r="C11" t="s" s="55">
        <v>55</v>
      </c>
      <c r="D11" t="s" s="55">
        <v>56</v>
      </c>
      <c r="E11" t="s" s="55">
        <v>57</v>
      </c>
      <c r="F11" s="56">
        <v>4</v>
      </c>
    </row>
    <row r="12" ht="58" customHeight="1">
      <c r="A12" t="s" s="22">
        <v>32</v>
      </c>
      <c r="B12" t="s" s="55">
        <v>54</v>
      </c>
      <c r="C12" t="s" s="55">
        <v>55</v>
      </c>
      <c r="D12" t="s" s="55">
        <v>56</v>
      </c>
      <c r="E12" t="s" s="55">
        <v>57</v>
      </c>
      <c r="F12" s="56">
        <v>2</v>
      </c>
    </row>
    <row r="13" ht="58" customHeight="1">
      <c r="A13" t="s" s="22">
        <v>34</v>
      </c>
      <c r="B13" t="s" s="55">
        <v>54</v>
      </c>
      <c r="C13" t="s" s="55">
        <v>55</v>
      </c>
      <c r="D13" t="s" s="55">
        <v>56</v>
      </c>
      <c r="E13" t="s" s="55">
        <v>57</v>
      </c>
      <c r="F13" s="56">
        <v>2</v>
      </c>
    </row>
    <row r="14" ht="58" customHeight="1">
      <c r="A14" t="s" s="22">
        <v>36</v>
      </c>
      <c r="B14" t="s" s="55">
        <v>54</v>
      </c>
      <c r="C14" t="s" s="55">
        <v>55</v>
      </c>
      <c r="D14" t="s" s="55">
        <v>56</v>
      </c>
      <c r="E14" t="s" s="55">
        <v>57</v>
      </c>
      <c r="F14" s="56">
        <v>5</v>
      </c>
    </row>
  </sheetData>
  <mergeCells count="1">
    <mergeCell ref="A1:F1"/>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83333" defaultRowHeight="15" customHeight="1" outlineLevelRow="0" outlineLevelCol="0"/>
  <cols>
    <col min="1" max="1" width="25" style="57" customWidth="1"/>
    <col min="2" max="2" width="42" style="57" customWidth="1"/>
    <col min="3" max="4" width="25" style="57" customWidth="1"/>
    <col min="5" max="5" width="8.85156" style="57" customWidth="1"/>
    <col min="6" max="16384" width="8.85156" style="57" customWidth="1"/>
  </cols>
  <sheetData>
    <row r="1" ht="19.45" customHeight="1">
      <c r="A1" t="s" s="52">
        <v>59</v>
      </c>
      <c r="B1" s="8"/>
      <c r="C1" s="8"/>
      <c r="D1" s="8"/>
      <c r="E1" s="9"/>
    </row>
    <row r="2" ht="13.55" customHeight="1">
      <c r="A2" s="58"/>
      <c r="B2" s="59"/>
      <c r="C2" s="59"/>
      <c r="D2" s="59"/>
      <c r="E2" s="12"/>
    </row>
    <row r="3" ht="52" customHeight="1">
      <c r="A3" t="s" s="60">
        <v>60</v>
      </c>
      <c r="B3" t="s" s="55">
        <v>61</v>
      </c>
      <c r="C3" s="26"/>
      <c r="D3" s="26"/>
      <c r="E3" s="61"/>
    </row>
    <row r="4" ht="52" customHeight="1">
      <c r="A4" t="s" s="60">
        <v>62</v>
      </c>
      <c r="B4" t="s" s="55">
        <v>63</v>
      </c>
      <c r="C4" s="26"/>
      <c r="D4" s="26"/>
      <c r="E4" s="61"/>
    </row>
    <row r="5" ht="52" customHeight="1">
      <c r="A5" t="s" s="60">
        <v>64</v>
      </c>
      <c r="B5" t="s" s="55">
        <v>65</v>
      </c>
      <c r="C5" s="26"/>
      <c r="D5" s="26"/>
      <c r="E5" s="61"/>
    </row>
    <row r="6" ht="52" customHeight="1">
      <c r="A6" t="s" s="60">
        <v>66</v>
      </c>
      <c r="B6" t="s" s="55">
        <v>67</v>
      </c>
      <c r="C6" s="26"/>
      <c r="D6" s="26"/>
      <c r="E6" s="61"/>
    </row>
    <row r="7" ht="52" customHeight="1">
      <c r="A7" t="s" s="60">
        <v>4</v>
      </c>
      <c r="B7" t="s" s="55">
        <v>68</v>
      </c>
      <c r="C7" s="26"/>
      <c r="D7" s="26"/>
      <c r="E7" s="61"/>
    </row>
    <row r="8" ht="52" customHeight="1">
      <c r="A8" t="s" s="60">
        <v>69</v>
      </c>
      <c r="B8" t="s" s="55">
        <v>70</v>
      </c>
      <c r="C8" s="26"/>
      <c r="D8" s="26"/>
      <c r="E8" s="61"/>
    </row>
    <row r="9" ht="13.55" customHeight="1">
      <c r="A9" s="62"/>
      <c r="B9" s="44"/>
      <c r="C9" s="44"/>
      <c r="D9" s="44"/>
      <c r="E9" s="12"/>
    </row>
    <row r="10" ht="13.55" customHeight="1">
      <c r="A10" s="63"/>
      <c r="B10" s="49"/>
      <c r="C10" s="49"/>
      <c r="D10" s="49"/>
      <c r="E10" s="50"/>
    </row>
  </sheetData>
  <mergeCells count="7">
    <mergeCell ref="A1:D1"/>
    <mergeCell ref="B3:D3"/>
    <mergeCell ref="B5:D5"/>
    <mergeCell ref="B8:D8"/>
    <mergeCell ref="B4:D4"/>
    <mergeCell ref="B7:D7"/>
    <mergeCell ref="B6:D6"/>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